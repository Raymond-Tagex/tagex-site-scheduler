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ymond\Documents\TAGEX ENERGY\"/>
    </mc:Choice>
  </mc:AlternateContent>
  <xr:revisionPtr revIDLastSave="0" documentId="8_{07532278-9411-4651-BB0E-58FA99AB4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" sheetId="1" r:id="rId1"/>
  </sheets>
  <definedNames>
    <definedName name="Advances">'EXPENSE REPORT'!$N$24</definedName>
    <definedName name="_xlnm.Print_Area" localSheetId="0">'EXPENSE REPORT'!$B$2:$N$28</definedName>
    <definedName name="_xlnm.Print_Titles" localSheetId="0">'EXPENSE REPORT'!$15:$15</definedName>
    <definedName name="Subtotal">'EXPENSE REPORT'!$N$23</definedName>
  </definedNames>
  <calcPr calcId="191029" fullCalcOnLoad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<sst xmlns="http://schemas.openxmlformats.org/spreadsheetml/2006/main" count="47" uniqueCount="45">
  <si>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TAGEX ENERGY EXPENSE SHEET</t>
  </si>
  <si>
    <t>REG: 1994/009361/07</t>
  </si>
  <si>
    <t>VAT 4550259271</t>
  </si>
  <si>
    <t>FULL NAME</t>
  </si>
  <si>
    <t>CSH/TRF:</t>
  </si>
  <si>
    <t/>
  </si>
  <si>
    <t/>
  </si>
  <si>
    <t>FUNDS</t>
  </si>
  <si>
    <t>CC EXPENSES:</t>
  </si>
  <si>
    <t>AMOUNT</t>
  </si>
  <si>
    <t>PROJECT NAME:</t>
  </si>
  <si>
    <t xml:space="preserve">BALANCE </t>
  </si>
  <si>
    <t>.</t>
  </si>
  <si>
    <t>AMOUNT AVAILABLE</t>
  </si>
  <si>
    <t>PLEASE ATTACH ALL PROOF OF PAYMENTS AND SUPPLIER INVOICES FOR REIMBURSEMENTS</t>
  </si>
  <si>
    <t>Date</t>
  </si>
  <si>
    <t>Supplier/Provider</t>
  </si>
  <si>
    <t>Description</t>
  </si>
  <si>
    <t>Transport</t>
  </si>
  <si>
    <t>Meals</t>
  </si>
  <si>
    <t>Phone</t>
  </si>
  <si>
    <t>Entertainm</t>
  </si>
  <si>
    <t>Misc.</t>
  </si>
  <si>
    <t/>
  </si>
  <si>
    <t>SUBTOTAL</t>
  </si>
  <si>
    <t>APPROVED:</t>
  </si>
  <si>
    <t xml:space="preserve">NOTES: </t>
  </si>
  <si>
    <t xml:space="preserve"> </t>
  </si>
  <si>
    <t>ADVANCES</t>
  </si>
  <si>
    <t>TOTAL</t>
  </si>
  <si>
    <t>Accommodation</t>
  </si>
  <si>
    <t>FUEL COST</t>
  </si>
  <si>
    <t>Company Cost 
@ R4.85/km</t>
  </si>
  <si>
    <t>ACTUAL COST
Total</t>
  </si>
  <si>
    <t>Date:</t>
  </si>
  <si>
    <t>Actual Fuel 
Cost @ R3.95/km</t>
  </si>
  <si>
    <t/>
  </si>
  <si>
    <t/>
  </si>
  <si>
    <t/>
  </si>
  <si>
    <t/>
  </si>
  <si>
    <t/>
  </si>
  <si>
    <t/>
  </si>
  <si>
    <t>Kilometers:</t>
  </si>
  <si>
    <t>Ref #: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</si>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</sst>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&quot;$&quot;#,##0.00_);\(&quot;$&quot;#,##0.00\)"/>
    <numFmt numFmtId="165" formatCode="_-[$R-1C09]* #,##0.00_-;\-[$R-1C09]* #,##0.00_-;_-[$R-1C09]* &quot;-&quot;??_-;_-@_-"/>
    <numFmt numFmtId="166" formatCode="[$-1C09]dd\ mmmm\ yyyy;@"/>
  </numFmts>
  <fonts count="21">
    <font>
      <sz val="10"/>
      <color theme="1" tint="0.24994659260841701"/>
      <name val="Calibri"/>
      <charset val="134"/>
      <scheme val="minor"/>
    </font>
    <font>
      <i/>
      <sz val="9"/>
      <color theme="1" tint="4.9989318521683403E-2"/>
      <name val="Century Gothic"/>
      <family val="2"/>
      <scheme val="major"/>
    </font>
    <font>
      <b/>
      <sz val="10"/>
      <color theme="4" tint="-0.499984740745262"/>
      <name val="Century Gothic"/>
      <family val="2"/>
      <scheme val="major"/>
    </font>
    <font>
      <sz val="10"/>
      <color theme="1" tint="0.24994659260841701"/>
      <name val="Century Gothic"/>
      <family val="2"/>
      <scheme val="major"/>
    </font>
    <font>
      <sz val="24"/>
      <color theme="4" tint="-0.499984740745262"/>
      <name val="Century Gothic"/>
      <family val="2"/>
      <scheme val="major"/>
    </font>
    <font>
      <sz val="10"/>
      <color theme="1" tint="0.24994659260841701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theme="1" tint="4.9989318521683403E-2"/>
      <name val="Calibri"/>
      <family val="2"/>
      <scheme val="minor"/>
    </font>
    <font>
      <b/>
      <i/>
      <sz val="12"/>
      <color theme="4" tint="-0.49998474074526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1" tint="0.14993743705557422"/>
      </left>
      <right style="thin">
        <color theme="1" tint="0.14993743705557422"/>
      </right>
      <top style="thin">
        <color theme="1" tint="0.14993743705557422"/>
      </top>
      <bottom style="thin">
        <color theme="1" tint="0.14993743705557422"/>
      </bottom>
      <diagonal/>
    </border>
    <border>
      <left style="thin">
        <color theme="1" tint="0.14993743705557422"/>
      </left>
      <right/>
      <top style="thin">
        <color theme="1" tint="0.14993743705557422"/>
      </top>
      <bottom style="thin">
        <color theme="1" tint="0.14993743705557422"/>
      </bottom>
      <diagonal/>
    </border>
    <border>
      <left/>
      <right style="thin">
        <color theme="1" tint="0.14993743705557422"/>
      </right>
      <top style="thin">
        <color theme="1" tint="0.14993743705557422"/>
      </top>
      <bottom style="thin">
        <color theme="1" tint="0.14993743705557422"/>
      </bottom>
      <diagonal/>
    </border>
    <border>
      <left style="thin">
        <color theme="1" tint="0.14993743705557422"/>
      </left>
      <right style="thin">
        <color theme="1" tint="0.14993743705557422"/>
      </right>
      <top style="thin">
        <color theme="1" tint="0.14993743705557422"/>
      </top>
      <bottom/>
      <diagonal/>
    </border>
    <border>
      <left style="thin">
        <color theme="1" tint="0.14993743705557422"/>
      </left>
      <right style="thin">
        <color theme="1" tint="0.14993743705557422"/>
      </right>
      <top/>
      <bottom style="thin">
        <color theme="1" tint="0.14993743705557422"/>
      </bottom>
      <diagonal/>
    </border>
    <border>
      <left style="thin">
        <color theme="1" tint="0.14993743705557422"/>
      </left>
      <right style="thin">
        <color theme="4"/>
      </right>
      <top style="thin">
        <color theme="1" tint="0.14993743705557422"/>
      </top>
      <bottom style="thin">
        <color theme="1" tint="0.14993743705557422"/>
      </bottom>
      <diagonal/>
    </border>
    <border>
      <left style="thin">
        <color theme="1" tint="0.14993743705557422"/>
      </left>
      <right style="thin">
        <color theme="4"/>
      </right>
      <top/>
      <bottom style="thin">
        <color theme="1" tint="0.14993743705557422"/>
      </bottom>
      <diagonal/>
    </border>
  </borders>
  <cellStyleXfs count="6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1" fillId="3" borderId="6" applyNumberFormat="0" applyAlignment="0" applyProtection="0"/>
    <xf numFmtId="44" fontId="5" fillId="0" borderId="0" applyFont="0" applyFill="0" applyBorder="0" applyAlignment="0" applyProtection="0"/>
  </cellStyleXfs>
  <cellXfs count="55">
    <xf numFmtId="0" fontId="0" fillId="0" borderId="0" xfId="0"/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6" fillId="0" borderId="2" xfId="0" applyFont="1" applyBorder="1"/>
    <xf numFmtId="165" fontId="6" fillId="0" borderId="1" xfId="0" applyNumberFormat="1" applyFont="1" applyBorder="1" applyAlignment="1">
      <alignment horizontal="left"/>
    </xf>
    <xf numFmtId="0" fontId="8" fillId="0" borderId="0" xfId="2" applyFont="1"/>
    <xf numFmtId="1" fontId="6" fillId="0" borderId="2" xfId="0" applyNumberFormat="1" applyFont="1" applyBorder="1" applyAlignment="1">
      <alignment horizontal="left"/>
    </xf>
    <xf numFmtId="15" fontId="6" fillId="0" borderId="0" xfId="0" applyNumberFormat="1" applyFont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3" applyFont="1"/>
    <xf numFmtId="0" fontId="9" fillId="2" borderId="4" xfId="0" applyFont="1" applyFill="1" applyBorder="1" applyAlignment="1">
      <alignment horizontal="left"/>
    </xf>
    <xf numFmtId="0" fontId="9" fillId="2" borderId="4" xfId="0" applyFont="1" applyFill="1" applyBorder="1"/>
    <xf numFmtId="0" fontId="9" fillId="2" borderId="5" xfId="0" applyFont="1" applyFill="1" applyBorder="1"/>
    <xf numFmtId="0" fontId="11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left"/>
    </xf>
    <xf numFmtId="0" fontId="6" fillId="0" borderId="6" xfId="0" applyFont="1" applyBorder="1"/>
    <xf numFmtId="0" fontId="6" fillId="0" borderId="6" xfId="0" applyFont="1" applyBorder="1" applyAlignment="1">
      <alignment wrapText="1"/>
    </xf>
    <xf numFmtId="165" fontId="6" fillId="0" borderId="6" xfId="0" applyNumberFormat="1" applyFont="1" applyBorder="1"/>
    <xf numFmtId="165" fontId="6" fillId="2" borderId="6" xfId="0" applyNumberFormat="1" applyFont="1" applyFill="1" applyBorder="1"/>
    <xf numFmtId="166" fontId="6" fillId="0" borderId="8" xfId="0" applyNumberFormat="1" applyFont="1" applyBorder="1" applyAlignment="1">
      <alignment horizontal="left"/>
    </xf>
    <xf numFmtId="165" fontId="6" fillId="0" borderId="0" xfId="5" applyNumberFormat="1" applyFont="1"/>
    <xf numFmtId="0" fontId="6" fillId="0" borderId="6" xfId="0" applyFont="1" applyBorder="1" applyAlignment="1">
      <alignment horizontal="left" wrapText="1"/>
    </xf>
    <xf numFmtId="0" fontId="6" fillId="0" borderId="10" xfId="0" applyFont="1" applyBorder="1"/>
    <xf numFmtId="165" fontId="7" fillId="3" borderId="12" xfId="0" applyNumberFormat="1" applyFont="1" applyFill="1" applyBorder="1" applyAlignment="1">
      <alignment horizontal="center"/>
    </xf>
    <xf numFmtId="0" fontId="7" fillId="0" borderId="6" xfId="0" applyFont="1" applyBorder="1"/>
    <xf numFmtId="164" fontId="14" fillId="0" borderId="6" xfId="0" applyNumberFormat="1" applyFont="1" applyBorder="1" applyAlignment="1">
      <alignment horizontal="center"/>
    </xf>
    <xf numFmtId="165" fontId="14" fillId="3" borderId="11" xfId="0" applyNumberFormat="1" applyFont="1" applyFill="1" applyBorder="1" applyAlignment="1">
      <alignment horizontal="center"/>
    </xf>
    <xf numFmtId="0" fontId="13" fillId="0" borderId="9" xfId="0" applyFont="1" applyBorder="1" applyAlignment="1">
      <alignment wrapText="1"/>
    </xf>
    <xf numFmtId="0" fontId="16" fillId="0" borderId="0" xfId="4" applyFont="1" applyFill="1" applyBorder="1" applyAlignment="1">
      <alignment horizontal="center"/>
    </xf>
    <xf numFmtId="0" fontId="17" fillId="0" borderId="0" xfId="1" applyFont="1"/>
    <xf numFmtId="0" fontId="18" fillId="2" borderId="3" xfId="3" applyFont="1" applyFill="1" applyBorder="1"/>
    <xf numFmtId="0" fontId="11" fillId="0" borderId="10" xfId="0" applyFont="1" applyBorder="1" applyAlignment="1">
      <alignment horizontal="center"/>
    </xf>
    <xf numFmtId="0" fontId="7" fillId="0" borderId="10" xfId="3" applyFont="1" applyBorder="1"/>
    <xf numFmtId="0" fontId="18" fillId="0" borderId="6" xfId="2" applyFont="1" applyFill="1" applyBorder="1"/>
    <xf numFmtId="0" fontId="8" fillId="0" borderId="6" xfId="2" applyFont="1" applyBorder="1" applyAlignment="1">
      <alignment horizontal="right"/>
    </xf>
    <xf numFmtId="0" fontId="11" fillId="0" borderId="6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6" xfId="0" applyFont="1" applyBorder="1"/>
    <xf numFmtId="0" fontId="15" fillId="0" borderId="6" xfId="0" applyFont="1" applyBorder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6" fillId="0" borderId="0" xfId="4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8" fillId="0" borderId="0" xfId="2" applyFont="1" applyAlignment="1">
      <alignment horizontal="left"/>
    </xf>
    <xf numFmtId="0" fontId="6" fillId="0" borderId="0" xfId="3" applyFont="1" applyAlignment="1">
      <alignment horizontal="left"/>
    </xf>
    <xf numFmtId="165" fontId="19" fillId="0" borderId="11" xfId="0" applyNumberFormat="1" applyFont="1" applyBorder="1" applyAlignment="1">
      <alignment horizontal="center"/>
    </xf>
    <xf numFmtId="0" fontId="20" fillId="0" borderId="6" xfId="3" applyFont="1" applyBorder="1"/>
    <xf numFmtId="0" fontId="7" fillId="0" borderId="0" xfId="0" applyFont="1" applyAlignment="1">
      <alignment horizontal="left"/>
    </xf>
    <xf numFmtId="0" fontId="7" fillId="0" borderId="0" xfId="3" applyFont="1" applyAlignment="1">
      <alignment horizontal="left"/>
    </xf>
  </cellXfs>
  <cellStyles count="6">
    <cellStyle name="Currency" xfId="5" builtinId="4"/>
    <cellStyle name="Heading 1" xfId="1" builtinId="16"/>
    <cellStyle name="Heading 2" xfId="2" builtinId="17"/>
    <cellStyle name="Heading 3" xfId="3" builtinId="18"/>
    <cellStyle name="Heading 4" xfId="4" builtinId="19"/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_-[$R-1C09]* #,##0.00_-;\-[$R-1C09]* #,##0.00_-;_-[$R-1C09]* &quot;-&quot;??_-;_-@_-"/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_-[$R-1C09]* #,##0.00_-;\-[$R-1C09]* #,##0.00_-;_-[$R-1C09]* &quot;-&quot;??_-;_-@_-"/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_-[$R-1C09]* #,##0.00_-;\-[$R-1C09]* #,##0.00_-;_-[$R-1C09]* &quot;-&quot;??_-;_-@_-"/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_-[$R-1C09]* #,##0.00_-;\-[$R-1C09]* #,##0.00_-;_-[$R-1C09]* &quot;-&quot;??_-;_-@_-"/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_-[$R-1C09]* #,##0.00_-;\-[$R-1C09]* #,##0.00_-;_-[$R-1C09]* &quot;-&quot;??_-;_-@_-"/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_-[$R-1C09]* #,##0.00_-;\-[$R-1C09]* #,##0.00_-;_-[$R-1C09]* &quot;-&quot;??_-;_-@_-"/>
      <border diagonalUp="0" diagonalDown="0"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_-[$R-1C09]* #,##0.00_-;\-[$R-1C09]* #,##0.00_-;_-[$R-1C09]* &quot;-&quot;??_-;_-@_-"/>
      <fill>
        <patternFill>
          <fgColor indexed="64"/>
          <bgColor theme="0" tint="-0.249977111117893"/>
        </patternFill>
      </fill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_-[$R-1C09]* #,##0.00_-;\-[$R-1C09]* #,##0.00_-;_-[$R-1C09]* &quot;-&quot;??_-;_-@_-"/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_-[$R-1C09]* #,##0.00_-;\-[$R-1C09]* #,##0.00_-;_-[$R-1C09]* &quot;-&quot;??_-;_-@_-"/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outline="0">
        <left style="thin">
          <color theme="1" tint="0.14993743705557422"/>
        </left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/>
      <border outline="0">
        <left/>
        <right style="thin">
          <color theme="1" tint="0.14993743705557422"/>
        </right>
        <top style="thin">
          <color theme="1" tint="0.14993743705557422"/>
        </top>
        <bottom style="thin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1</xdr:row>
      <xdr:rowOff>95250</xdr:rowOff>
    </xdr:from>
    <xdr:to>
      <xdr:col>13</xdr:col>
      <xdr:colOff>1100456</xdr:colOff>
      <xdr:row>6</xdr:row>
      <xdr:rowOff>27717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5720" y="419100"/>
          <a:ext cx="2382520" cy="9213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" displayName="tblData" ref="C15:N22" totalsRowShown="0" headerRowDxfId="13" dataDxfId="12">
  <autoFilter ref="C15:N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000-000001000000}" name="Date" dataDxfId="11"/>
    <tableColumn id="2" xr3:uid="{00000000-0010-0000-0000-000002000000}" name="Supplier/Provider" dataDxfId="10"/>
    <tableColumn id="3" xr3:uid="{00000000-0010-0000-0000-000003000000}" name="Description" dataDxfId="9"/>
    <tableColumn id="4" xr3:uid="{00000000-0010-0000-0000-000004000000}" name="Accommodation" dataDxfId="8"/>
    <tableColumn id="5" xr3:uid="{00000000-0010-0000-0000-000005000000}" name="Transport" dataDxfId="7"/>
    <tableColumn id="6" xr3:uid="{00000000-0010-0000-0000-000006000000}" name="Company Cost _x000a_@ R4.85/km" dataDxfId="6"/>
    <tableColumn id="9" xr3:uid="{F34E5457-55C1-480B-A32A-A1773376C4EF}" name="Actual Fuel _x000a_Cost @ R3.95/km" dataDxfId="5">
      <calculatedColumnFormula>976*2.65</calculatedColumnFormula>
    </tableColumn>
    <tableColumn id="7" xr3:uid="{00000000-0010-0000-0000-000007000000}" name="Meals" dataDxfId="4"/>
    <tableColumn id="8" xr3:uid="{00000000-0010-0000-0000-000008000000}" name="Phone" dataDxfId="3"/>
    <tableColumn id="10" xr3:uid="{00000000-0010-0000-0000-00000A000000}" name="Entertainm" dataDxfId="2"/>
    <tableColumn id="11" xr3:uid="{00000000-0010-0000-0000-00000B000000}" name="Misc." dataDxfId="1"/>
    <tableColumn id="12" xr3:uid="{00000000-0010-0000-0000-00000C000000}" name="ACTUAL COST_x000a_Total" dataDxfId="0">
      <calculatedColumnFormula>SUM(F16:G16,tblData[[#This Row],[Meals]:[Misc.]])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Gradebook">
  <a:themeElements>
    <a:clrScheme name="Gradebook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0381C"/>
      </a:accent1>
      <a:accent2>
        <a:srgbClr val="2B759D"/>
      </a:accent2>
      <a:accent3>
        <a:srgbClr val="D9782E"/>
      </a:accent3>
      <a:accent4>
        <a:srgbClr val="538D32"/>
      </a:accent4>
      <a:accent5>
        <a:srgbClr val="724271"/>
      </a:accent5>
      <a:accent6>
        <a:srgbClr val="DCB330"/>
      </a:accent6>
      <a:hlink>
        <a:srgbClr val="2B759D"/>
      </a:hlink>
      <a:folHlink>
        <a:srgbClr val="724271"/>
      </a:folHlink>
    </a:clrScheme>
    <a:fontScheme name="Fixed asset record with 2x declining depreciation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2:P39"/>
  <sheetViews>
    <sheetView showGridLines="0" tabSelected="1" zoomScale="85" zoomScaleNormal="85" workbookViewId="0">
      <selection activeCell="I8" sqref="I8"/>
    </sheetView>
  </sheetViews>
  <sheetFormatPr defaultColWidth="9" defaultRowHeight="15.6"/>
  <cols>
    <col min="1" max="1" width="4" style="1" customWidth="1"/>
    <col min="2" max="2" width="1.6640625" style="1" hidden="1" customWidth="1"/>
    <col min="3" max="3" width="24.44140625" style="1" customWidth="1"/>
    <col min="4" max="4" width="18.88671875" style="1" customWidth="1"/>
    <col min="5" max="5" width="62.33203125" style="1" customWidth="1"/>
    <col min="6" max="6" width="16.44140625" style="1" bestFit="1" customWidth="1"/>
    <col min="7" max="7" width="12.88671875" style="1" customWidth="1"/>
    <col min="8" max="8" width="13.44140625" style="1" customWidth="1"/>
    <col min="9" max="11" width="12.5546875" style="1" customWidth="1"/>
    <col min="12" max="12" width="16.109375" style="1" customWidth="1"/>
    <col min="13" max="13" width="12.5546875" style="1" customWidth="1"/>
    <col min="14" max="14" width="17.33203125" style="1" customWidth="1"/>
    <col min="15" max="16384" width="9" style="1"/>
  </cols>
  <sheetData>
    <row r="2" spans="3:14">
      <c r="M2" s="47"/>
      <c r="N2" s="47"/>
    </row>
    <row r="3" spans="3:14">
      <c r="C3" s="10" t="s">
        <v>0</v>
      </c>
      <c r="M3" s="34"/>
      <c r="N3" s="34"/>
    </row>
    <row r="4" spans="3:14">
      <c r="C4" s="1" t="s">
        <v>1</v>
      </c>
      <c r="M4" s="34"/>
      <c r="N4" s="34"/>
    </row>
    <row r="5" spans="3:14">
      <c r="C5" s="1" t="s">
        <v>2</v>
      </c>
      <c r="M5" s="34"/>
      <c r="N5" s="34"/>
    </row>
    <row r="6" spans="3:14">
      <c r="C6" s="35"/>
    </row>
    <row r="8" spans="3:14" ht="13.5" customHeight="1">
      <c r="C8" s="6" t="s">
        <v>3</v>
      </c>
      <c r="D8" s="48"/>
      <c r="E8" s="48"/>
      <c r="F8" s="6" t="s">
        <v>4</v>
      </c>
      <c r="G8" s="2"/>
      <c r="H8" s="2"/>
      <c r="I8" s="2"/>
      <c r="J8" s="2"/>
      <c r="K8" s="2"/>
      <c r="L8" s="49"/>
      <c r="M8" s="49"/>
      <c r="N8" s="49"/>
    </row>
    <row r="9" spans="3:14">
      <c r="C9" s="3" t="s">
        <v>7</v>
      </c>
      <c r="D9" s="1"/>
      <c r="E9" s="4"/>
      <c r="F9" s="1" t="s">
        <v>8</v>
      </c>
      <c r="L9" s="3" t="s">
        <v>9</v>
      </c>
      <c r="M9" s="11"/>
      <c r="N9" s="5">
        <f>SUM(N25)</f>
        <v>621</v>
      </c>
    </row>
    <row r="10" spans="3:14">
      <c r="C10" s="6" t="s">
        <v>10</v>
      </c>
      <c r="D10" s="7"/>
      <c r="E10" s="4"/>
      <c r="F10" s="3" t="s">
        <v>34</v>
      </c>
      <c r="G10" s="8"/>
      <c r="L10" s="1" t="s">
        <v>11</v>
      </c>
      <c r="N10" s="1" t="s">
        <v>12</v>
      </c>
    </row>
    <row r="11" spans="3:14">
      <c r="C11" s="3"/>
      <c r="D11" s="9"/>
      <c r="E11" s="4"/>
      <c r="F11" s="3" t="s">
        <v>43</v>
      </c>
      <c r="G11" s="54"/>
      <c r="H11" s="10"/>
      <c r="I11" s="10"/>
      <c r="J11" s="10"/>
      <c r="L11" s="50" t="s">
        <v>13</v>
      </c>
      <c r="M11" s="50"/>
      <c r="N11" s="50"/>
    </row>
    <row r="12" spans="3:14">
      <c r="C12" s="6" t="s">
        <v>42</v>
      </c>
      <c r="D12" s="53"/>
      <c r="G12" s="11"/>
      <c r="H12" s="10"/>
      <c r="I12" s="10"/>
      <c r="J12" s="10"/>
      <c r="L12" s="11"/>
      <c r="M12" s="10"/>
      <c r="N12" s="10"/>
    </row>
    <row r="13" spans="3:14">
      <c r="C13" s="11"/>
      <c r="D13" s="36" t="s">
        <v>14</v>
      </c>
      <c r="E13" s="12"/>
      <c r="F13" s="13"/>
      <c r="G13" s="14"/>
      <c r="H13" s="42"/>
      <c r="I13" s="42"/>
      <c r="J13" s="42"/>
      <c r="L13" s="11"/>
      <c r="M13" s="42"/>
      <c r="N13" s="42"/>
    </row>
    <row r="14" spans="3:14">
      <c r="H14" s="45" t="s">
        <v>31</v>
      </c>
      <c r="I14" s="46"/>
    </row>
    <row r="15" spans="3:14" ht="46.8">
      <c r="C15" s="15" t="s">
        <v>15</v>
      </c>
      <c r="D15" s="15" t="s">
        <v>16</v>
      </c>
      <c r="E15" s="15" t="s">
        <v>17</v>
      </c>
      <c r="F15" s="16" t="s">
        <v>30</v>
      </c>
      <c r="G15" s="16" t="s">
        <v>18</v>
      </c>
      <c r="H15" s="17" t="s">
        <v>32</v>
      </c>
      <c r="I15" s="18" t="s">
        <v>35</v>
      </c>
      <c r="J15" s="16" t="s">
        <v>19</v>
      </c>
      <c r="K15" s="16" t="s">
        <v>20</v>
      </c>
      <c r="L15" s="16" t="s">
        <v>21</v>
      </c>
      <c r="M15" s="16" t="s">
        <v>22</v>
      </c>
      <c r="N15" s="19" t="s">
        <v>33</v>
      </c>
    </row>
    <row r="16" spans="3:14">
      <c r="C16" s="20"/>
      <c r="D16" s="21"/>
      <c r="E16" s="22"/>
      <c r="F16" s="23"/>
      <c r="G16" s="23"/>
      <c r="H16" s="24">
        <f>0*4.85</f>
        <v>0</v>
      </c>
      <c r="I16" s="23"/>
      <c r="J16" s="23"/>
      <c r="K16" s="23"/>
      <c r="L16" s="23"/>
      <c r="M16" s="23"/>
      <c r="N16" s="23"/>
    </row>
    <row r="17" spans="3:14">
      <c r="C17" s="20"/>
      <c r="D17" s="21"/>
      <c r="E17" s="22"/>
      <c r="F17" s="23"/>
      <c r="G17" s="23"/>
      <c r="H17" s="24">
        <f>0*4.85</f>
        <v>0</v>
      </c>
      <c r="I17" s="23"/>
      <c r="J17" s="23"/>
      <c r="K17" s="23"/>
      <c r="L17" s="23"/>
      <c r="M17" s="23"/>
      <c r="N17" s="23"/>
    </row>
    <row r="18" spans="3:14">
      <c r="C18" s="25"/>
      <c r="D18" s="21"/>
      <c r="E18" s="22"/>
      <c r="F18" s="23"/>
      <c r="G18" s="23"/>
      <c r="H18" s="24">
        <v>0</v>
      </c>
      <c r="I18" s="23"/>
      <c r="J18" s="23"/>
      <c r="K18" s="23"/>
      <c r="L18" s="23"/>
      <c r="M18" s="23"/>
      <c r="N18" s="26">
        <v>0</v>
      </c>
    </row>
    <row r="19" spans="3:14">
      <c r="C19" s="20"/>
      <c r="D19" s="21"/>
      <c r="E19" s="27"/>
      <c r="F19" s="23"/>
      <c r="G19" s="23"/>
      <c r="H19" s="24">
        <v>0</v>
      </c>
      <c r="I19" s="23"/>
      <c r="J19" s="23"/>
      <c r="K19" s="23"/>
      <c r="L19" s="23"/>
      <c r="M19" s="23"/>
      <c r="N19" s="26">
        <v>0</v>
      </c>
    </row>
    <row r="20" spans="3:14">
      <c r="C20" s="25"/>
      <c r="D20" s="21"/>
      <c r="E20" s="22"/>
      <c r="F20" s="23"/>
      <c r="G20" s="23"/>
      <c r="H20" s="24">
        <v>0</v>
      </c>
      <c r="I20" s="23"/>
      <c r="J20" s="23"/>
      <c r="K20" s="23"/>
      <c r="L20" s="23"/>
      <c r="M20" s="23"/>
      <c r="N20" s="26">
        <v>0</v>
      </c>
    </row>
    <row r="21" spans="3:14">
      <c r="C21" s="25"/>
      <c r="D21" s="21"/>
      <c r="E21" s="22"/>
      <c r="F21" s="23"/>
      <c r="G21" s="23"/>
      <c r="H21" s="24">
        <v>0</v>
      </c>
      <c r="I21" s="23"/>
      <c r="J21" s="23"/>
      <c r="K21" s="23"/>
      <c r="L21" s="23"/>
      <c r="M21" s="23"/>
      <c r="N21" s="26">
        <v>0</v>
      </c>
    </row>
    <row r="22" spans="3:14" ht="33" customHeight="1">
      <c r="C22" s="20"/>
      <c r="D22" s="21"/>
      <c r="E22" s="33"/>
      <c r="F22" s="23"/>
      <c r="G22" s="23"/>
      <c r="H22" s="24">
        <v>0</v>
      </c>
      <c r="I22" s="23"/>
      <c r="J22" s="23"/>
      <c r="K22" s="23"/>
      <c r="L22" s="23"/>
      <c r="M22" s="23"/>
      <c r="N22" s="23">
        <f>SUM(F22:G22,tblData[[#This Row],[Meals]:[Misc.]])</f>
        <v>0</v>
      </c>
    </row>
    <row r="23" spans="3:14" ht="33.75" customHeight="1">
      <c r="C23" s="28"/>
      <c r="D23" s="37"/>
      <c r="E23" s="37"/>
      <c r="F23" s="37"/>
      <c r="G23" s="37"/>
      <c r="H23" s="37"/>
      <c r="I23" s="37"/>
      <c r="J23" s="37"/>
      <c r="K23" s="37"/>
      <c r="L23" s="28"/>
      <c r="M23" s="38" t="s">
        <v>24</v>
      </c>
      <c r="N23" s="29">
        <f>SUBTOTAL(109,tblData[ACTUAL COST
Total])</f>
        <v>1500</v>
      </c>
    </row>
    <row r="24" spans="3:14" ht="33.75" customHeight="1">
      <c r="C24" s="39" t="s">
        <v>25</v>
      </c>
      <c r="D24" s="43"/>
      <c r="E24" s="43"/>
      <c r="F24" s="43"/>
      <c r="G24" s="40" t="s">
        <v>26</v>
      </c>
      <c r="H24" s="30" t="s">
        <v>27</v>
      </c>
      <c r="I24" s="30"/>
      <c r="J24" s="30"/>
      <c r="K24" s="30"/>
      <c r="L24" s="21"/>
      <c r="M24" s="52" t="s">
        <v>28</v>
      </c>
      <c r="N24" s="51"/>
    </row>
    <row r="25" spans="3:14" ht="33.75" customHeight="1">
      <c r="C25" s="21"/>
      <c r="D25" s="43"/>
      <c r="E25" s="43"/>
      <c r="F25" s="43"/>
      <c r="G25" s="41"/>
      <c r="H25" s="44"/>
      <c r="I25" s="44"/>
      <c r="J25" s="44"/>
      <c r="K25" s="44"/>
      <c r="L25" s="21"/>
      <c r="M25" s="31" t="s">
        <v>29</v>
      </c>
      <c r="N25" s="32">
        <f>Subtotal-Advances</f>
        <v>621</v>
      </c>
    </row>
    <row r="26" spans="3:14">
      <c r="H26" s="3" t="s">
        <v>27</v>
      </c>
      <c r="I26" s="3"/>
      <c r="J26" s="3"/>
      <c r="K26" s="3"/>
      <c r="M26" s="11"/>
    </row>
    <row r="39" spans="16:16">
      <c r="P39" s="1">
        <v>0</v>
      </c>
    </row>
  </sheetData>
  <mergeCells count="10">
    <mergeCell ref="M2:N2"/>
    <mergeCell ref="D8:E8"/>
    <mergeCell ref="L8:N8"/>
    <mergeCell ref="L11:N11"/>
    <mergeCell ref="H13:J13"/>
    <mergeCell ref="M13:N13"/>
    <mergeCell ref="D24:F24"/>
    <mergeCell ref="D25:F25"/>
    <mergeCell ref="H25:K25"/>
    <mergeCell ref="H14:I14"/>
  </mergeCells>
  <pageMargins left="0.4" right="0.4" top="0.4" bottom="0.4" header="0.3" footer="0.3"/>
  <pageSetup scale="62" fitToHeight="0" orientation="landscape" r:id="rId1"/>
  <headerFooter differentFirst="1">
    <oddFooter>&amp;CPage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3A66F296-93B1-4889-BEAE-435C2397EB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EXPENSE REPORT</vt:lpstr>
      <vt:lpstr>Advances</vt:lpstr>
      <vt:lpstr>'EXPENSE REPORT'!Print_Area</vt:lpstr>
      <vt:lpstr>'EXPENSE REPORT'!Print_Titles</vt:lpstr>
      <vt:lpstr>Subtotal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Private</dc:creator>
  <cp:lastModifiedBy>Ray Fraser</cp:lastModifiedBy>
  <cp:lastPrinted>2026-10-19T11:16:45Z</cp:lastPrinted>
  <dcterms:created xsi:type="dcterms:W3CDTF">2016-07-15T10:50:00Z</dcterms:created>
  <dcterms:modified xsi:type="dcterms:W3CDTF">2026-10-28T12:26:55Z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TC040992069991</vt:lpwstr>
  </property>
  <property fmtid="{D5CDD505-2E9C-101B-9397-08002B2CF9AE}" pid="3" name="ICV">
    <vt:lpwstr>3FDD1E5370A2419F8A114ADE5F5F7EFB_13</vt:lpwstr>
  </property>
  <property fmtid="{D5CDD505-2E9C-101B-9397-08002B2CF9AE}" pid="4" name="KSOProductBuildVer">
    <vt:lpwstr>1033-12.1.0.25242</vt:lpwstr>
  </property>
  <property fmtid="{D5CDD505-2E9C-101B-9397-08002B2CF9AE}" pid="5" name="CalculationRule">
    <vt:i4>0</vt:i4>
  </property>
</Properties>
</file>